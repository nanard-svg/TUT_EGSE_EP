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3Utransat\TUT_EGSE_EP_ads7049_branch\software\G_2_1MSps\"/>
    </mc:Choice>
  </mc:AlternateContent>
  <bookViews>
    <workbookView xWindow="0" yWindow="0" windowWidth="24000" windowHeight="14235" activeTab="1"/>
  </bookViews>
  <sheets>
    <sheet name="@1,1MSps" sheetId="1" r:id="rId1"/>
    <sheet name="@1,1MSps_spectre" sheetId="2" r:id="rId2"/>
    <sheet name="@1MSps" sheetId="3" r:id="rId3"/>
    <sheet name="@1MSps numérisation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4" l="1"/>
  <c r="C3" i="4"/>
  <c r="C4" i="4"/>
  <c r="C5" i="4"/>
  <c r="C6" i="4"/>
  <c r="C7" i="4"/>
  <c r="C9" i="4"/>
  <c r="C10" i="4"/>
  <c r="C2" i="4"/>
  <c r="E2" i="4" l="1"/>
  <c r="F2" i="4" s="1"/>
  <c r="E10" i="4"/>
  <c r="F10" i="4" s="1"/>
  <c r="E8" i="4" l="1"/>
  <c r="F8" i="4" s="1"/>
  <c r="E7" i="4"/>
  <c r="F7" i="4" s="1"/>
  <c r="E6" i="4"/>
  <c r="F6" i="4" s="1"/>
  <c r="E5" i="4"/>
  <c r="F5" i="4" s="1"/>
  <c r="E4" i="4"/>
  <c r="F4" i="4" s="1"/>
  <c r="E3" i="4"/>
  <c r="F3" i="4" s="1"/>
  <c r="A3" i="3" l="1"/>
  <c r="A4" i="3" s="1"/>
  <c r="A5" i="3" s="1"/>
  <c r="A6" i="3" s="1"/>
  <c r="A7" i="3" s="1"/>
  <c r="A8" i="3" s="1"/>
  <c r="A9" i="3" l="1"/>
  <c r="A4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3" i="2"/>
  <c r="A10" i="3" l="1"/>
  <c r="A11" i="3" s="1"/>
  <c r="A12" i="3" s="1"/>
  <c r="C3" i="1"/>
  <c r="C4" i="1"/>
  <c r="C5" i="1"/>
  <c r="C6" i="1"/>
  <c r="C7" i="1"/>
  <c r="C2" i="1"/>
  <c r="A13" i="3" l="1"/>
  <c r="A14" i="3" s="1"/>
  <c r="A15" i="3" s="1"/>
  <c r="A16" i="3" l="1"/>
  <c r="A17" i="3" s="1"/>
  <c r="A18" i="3" l="1"/>
  <c r="A19" i="3" s="1"/>
  <c r="A20" i="3" s="1"/>
  <c r="A21" i="3" s="1"/>
</calcChain>
</file>

<file path=xl/sharedStrings.xml><?xml version="1.0" encoding="utf-8"?>
<sst xmlns="http://schemas.openxmlformats.org/spreadsheetml/2006/main" count="20" uniqueCount="10">
  <si>
    <t>Entrée du filtre(V)</t>
  </si>
  <si>
    <t>Entrée du shaper(V)</t>
  </si>
  <si>
    <t>valeur du pic spectre</t>
  </si>
  <si>
    <t>Après numérsation&amp;(resize 16 bits) théorique</t>
  </si>
  <si>
    <t>Entrée du filtre(numérique) GSE</t>
  </si>
  <si>
    <t>Sortie filtre&amp;gain(numérique)GSE</t>
  </si>
  <si>
    <t>valeur du pic spectre GSE</t>
  </si>
  <si>
    <t>erreur ramené sur 12 bits</t>
  </si>
  <si>
    <t>erreur sur 16 bits</t>
  </si>
  <si>
    <t>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</si>
</sst>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pic du</a:t>
            </a:r>
            <a:r>
              <a:rPr lang="fr-FR" baseline="0"/>
              <a:t> spectre en fonction de l'entrée du filtre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'@1,1MSps'!$D$2:$D$7</c:f>
              <c:numCache>
                <c:formatCode>General</c:formatCode>
                <c:ptCount val="6"/>
                <c:pt idx="0">
                  <c:v>5100</c:v>
                </c:pt>
                <c:pt idx="1">
                  <c:v>10150</c:v>
                </c:pt>
                <c:pt idx="2">
                  <c:v>15800</c:v>
                </c:pt>
                <c:pt idx="3">
                  <c:v>20824</c:v>
                </c:pt>
                <c:pt idx="4">
                  <c:v>26100</c:v>
                </c:pt>
                <c:pt idx="5">
                  <c:v>32000</c:v>
                </c:pt>
              </c:numCache>
            </c:numRef>
          </c:xVal>
          <c:yVal>
            <c:numRef>
              <c:f>'@1,1MSps'!$F$2:$F$7</c:f>
              <c:numCache>
                <c:formatCode>General</c:formatCode>
                <c:ptCount val="6"/>
                <c:pt idx="0">
                  <c:v>80</c:v>
                </c:pt>
                <c:pt idx="1">
                  <c:v>225</c:v>
                </c:pt>
                <c:pt idx="2">
                  <c:v>388</c:v>
                </c:pt>
                <c:pt idx="3">
                  <c:v>533</c:v>
                </c:pt>
                <c:pt idx="4">
                  <c:v>686</c:v>
                </c:pt>
                <c:pt idx="5">
                  <c:v>858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27976"/>
        <c:axId val="260628360"/>
      </c:scatterChart>
      <c:valAx>
        <c:axId val="260627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0628360"/>
        <c:crosses val="autoZero"/>
        <c:crossBetween val="midCat"/>
      </c:valAx>
      <c:valAx>
        <c:axId val="260628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0627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pic</a:t>
            </a:r>
            <a:r>
              <a:rPr lang="fr-FR" baseline="0"/>
              <a:t> du spectre en fonction de l'entrée du shaper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'@1,1MSps'!$A$2:$A$7</c:f>
              <c:numCache>
                <c:formatCode>General</c:formatCode>
                <c:ptCount val="6"/>
                <c:pt idx="0">
                  <c:v>0.09</c:v>
                </c:pt>
                <c:pt idx="1">
                  <c:v>0.25</c:v>
                </c:pt>
                <c:pt idx="2">
                  <c:v>0.43</c:v>
                </c:pt>
                <c:pt idx="3">
                  <c:v>0.59</c:v>
                </c:pt>
                <c:pt idx="4">
                  <c:v>0.76</c:v>
                </c:pt>
                <c:pt idx="5">
                  <c:v>0.95</c:v>
                </c:pt>
              </c:numCache>
            </c:numRef>
          </c:xVal>
          <c:yVal>
            <c:numRef>
              <c:f>'@1,1MSps'!$F$2:$F$7</c:f>
              <c:numCache>
                <c:formatCode>General</c:formatCode>
                <c:ptCount val="6"/>
                <c:pt idx="0">
                  <c:v>80</c:v>
                </c:pt>
                <c:pt idx="1">
                  <c:v>225</c:v>
                </c:pt>
                <c:pt idx="2">
                  <c:v>388</c:v>
                </c:pt>
                <c:pt idx="3">
                  <c:v>533</c:v>
                </c:pt>
                <c:pt idx="4">
                  <c:v>686</c:v>
                </c:pt>
                <c:pt idx="5">
                  <c:v>858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94752"/>
        <c:axId val="260695136"/>
      </c:scatterChart>
      <c:valAx>
        <c:axId val="26069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0695136"/>
        <c:crosses val="autoZero"/>
        <c:crossBetween val="midCat"/>
      </c:valAx>
      <c:valAx>
        <c:axId val="26069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0694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'@1,1MSps_spectre'!$A$2:$A$21</c:f>
              <c:numCache>
                <c:formatCode>General</c:formatCode>
                <c:ptCount val="20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</c:numCache>
            </c:numRef>
          </c:xVal>
          <c:yVal>
            <c:numRef>
              <c:f>'@1,1MSps_spectre'!$B$2:$B$21</c:f>
              <c:numCache>
                <c:formatCode>General</c:formatCode>
                <c:ptCount val="20"/>
                <c:pt idx="0">
                  <c:v>902</c:v>
                </c:pt>
                <c:pt idx="1">
                  <c:v>859</c:v>
                </c:pt>
                <c:pt idx="2">
                  <c:v>813</c:v>
                </c:pt>
                <c:pt idx="3">
                  <c:v>767</c:v>
                </c:pt>
                <c:pt idx="4">
                  <c:v>722</c:v>
                </c:pt>
                <c:pt idx="5">
                  <c:v>677</c:v>
                </c:pt>
                <c:pt idx="6">
                  <c:v>632</c:v>
                </c:pt>
                <c:pt idx="7">
                  <c:v>587</c:v>
                </c:pt>
                <c:pt idx="8">
                  <c:v>542</c:v>
                </c:pt>
                <c:pt idx="9">
                  <c:v>496</c:v>
                </c:pt>
                <c:pt idx="10">
                  <c:v>451</c:v>
                </c:pt>
                <c:pt idx="11">
                  <c:v>406</c:v>
                </c:pt>
                <c:pt idx="12">
                  <c:v>361</c:v>
                </c:pt>
                <c:pt idx="13">
                  <c:v>316</c:v>
                </c:pt>
                <c:pt idx="14">
                  <c:v>270</c:v>
                </c:pt>
                <c:pt idx="15">
                  <c:v>225</c:v>
                </c:pt>
                <c:pt idx="16">
                  <c:v>180</c:v>
                </c:pt>
                <c:pt idx="17">
                  <c:v>134</c:v>
                </c:pt>
                <c:pt idx="18">
                  <c:v>89</c:v>
                </c:pt>
                <c:pt idx="19">
                  <c:v>44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728512"/>
        <c:axId val="260728896"/>
      </c:scatterChart>
      <c:valAx>
        <c:axId val="26072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0728896"/>
        <c:crosses val="autoZero"/>
        <c:crossBetween val="midCat"/>
      </c:valAx>
      <c:valAx>
        <c:axId val="26072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072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pic en focntion de la tension d'entrée shaper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'@1MSps'!$A$2:$A$21</c:f>
              <c:numCache>
                <c:formatCode>General</c:formatCode>
                <c:ptCount val="20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</c:numCache>
            </c:numRef>
          </c:xVal>
          <c:yVal>
            <c:numRef>
              <c:f>'@1MSps'!$B$2:$B$19</c:f>
              <c:numCache>
                <c:formatCode>General</c:formatCode>
                <c:ptCount val="18"/>
                <c:pt idx="0">
                  <c:v>926</c:v>
                </c:pt>
                <c:pt idx="1">
                  <c:v>882</c:v>
                </c:pt>
                <c:pt idx="2">
                  <c:v>835</c:v>
                </c:pt>
                <c:pt idx="3">
                  <c:v>789</c:v>
                </c:pt>
                <c:pt idx="4">
                  <c:v>742</c:v>
                </c:pt>
                <c:pt idx="5">
                  <c:v>696</c:v>
                </c:pt>
                <c:pt idx="6">
                  <c:v>650</c:v>
                </c:pt>
                <c:pt idx="7">
                  <c:v>603</c:v>
                </c:pt>
                <c:pt idx="8">
                  <c:v>557</c:v>
                </c:pt>
                <c:pt idx="9">
                  <c:v>510</c:v>
                </c:pt>
                <c:pt idx="10">
                  <c:v>464</c:v>
                </c:pt>
                <c:pt idx="11">
                  <c:v>417</c:v>
                </c:pt>
                <c:pt idx="12">
                  <c:v>371</c:v>
                </c:pt>
                <c:pt idx="13">
                  <c:v>324</c:v>
                </c:pt>
                <c:pt idx="14">
                  <c:v>278</c:v>
                </c:pt>
                <c:pt idx="15">
                  <c:v>231</c:v>
                </c:pt>
                <c:pt idx="16">
                  <c:v>185</c:v>
                </c:pt>
                <c:pt idx="17">
                  <c:v>138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830208"/>
        <c:axId val="260830592"/>
      </c:scatterChart>
      <c:valAx>
        <c:axId val="26083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0830592"/>
        <c:crosses val="autoZero"/>
        <c:crossBetween val="midCat"/>
      </c:valAx>
      <c:valAx>
        <c:axId val="26083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083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Pic</a:t>
            </a:r>
            <a:r>
              <a:rPr lang="fr-FR" baseline="0"/>
              <a:t> du spectre en fonction de l'entrée du shaper 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'@1MSps'!$A$42:$A$55</c:f>
              <c:numCache>
                <c:formatCode>General</c:formatCode>
                <c:ptCount val="14"/>
                <c:pt idx="0">
                  <c:v>1</c:v>
                </c:pt>
                <c:pt idx="1">
                  <c:v>0.95</c:v>
                </c:pt>
                <c:pt idx="2">
                  <c:v>0.9</c:v>
                </c:pt>
                <c:pt idx="3">
                  <c:v>0.85</c:v>
                </c:pt>
                <c:pt idx="4">
                  <c:v>0.8</c:v>
                </c:pt>
                <c:pt idx="5">
                  <c:v>0.76</c:v>
                </c:pt>
                <c:pt idx="6">
                  <c:v>0.65</c:v>
                </c:pt>
                <c:pt idx="7">
                  <c:v>0.59</c:v>
                </c:pt>
                <c:pt idx="8">
                  <c:v>0.5</c:v>
                </c:pt>
                <c:pt idx="9">
                  <c:v>0.43</c:v>
                </c:pt>
                <c:pt idx="10">
                  <c:v>0.35</c:v>
                </c:pt>
                <c:pt idx="11">
                  <c:v>0.25</c:v>
                </c:pt>
                <c:pt idx="12">
                  <c:v>0.15</c:v>
                </c:pt>
                <c:pt idx="13">
                  <c:v>0.09</c:v>
                </c:pt>
              </c:numCache>
            </c:numRef>
          </c:xVal>
          <c:yVal>
            <c:numRef>
              <c:f>'@1MSps'!$B$42:$B$55</c:f>
              <c:numCache>
                <c:formatCode>General</c:formatCode>
                <c:ptCount val="14"/>
                <c:pt idx="0">
                  <c:v>926</c:v>
                </c:pt>
                <c:pt idx="1">
                  <c:v>882</c:v>
                </c:pt>
                <c:pt idx="2">
                  <c:v>835</c:v>
                </c:pt>
                <c:pt idx="3">
                  <c:v>789</c:v>
                </c:pt>
                <c:pt idx="4">
                  <c:v>742</c:v>
                </c:pt>
                <c:pt idx="5">
                  <c:v>706</c:v>
                </c:pt>
                <c:pt idx="6">
                  <c:v>603</c:v>
                </c:pt>
                <c:pt idx="7">
                  <c:v>547</c:v>
                </c:pt>
                <c:pt idx="8">
                  <c:v>464</c:v>
                </c:pt>
                <c:pt idx="9">
                  <c:v>399</c:v>
                </c:pt>
                <c:pt idx="10">
                  <c:v>324</c:v>
                </c:pt>
                <c:pt idx="11">
                  <c:v>231</c:v>
                </c:pt>
                <c:pt idx="12">
                  <c:v>138</c:v>
                </c:pt>
                <c:pt idx="13">
                  <c:v>83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418808"/>
        <c:axId val="260416456"/>
      </c:scatterChart>
      <c:valAx>
        <c:axId val="260418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Volts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0416456"/>
        <c:crosses val="autoZero"/>
        <c:crossBetween val="midCat"/>
      </c:valAx>
      <c:valAx>
        <c:axId val="26041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ADU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0418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Numérisation en fonction de la tension d'entrée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théorique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'@1MSps numérisation'!$B$3:$B$8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3.1</c:v>
                </c:pt>
              </c:numCache>
            </c:numRef>
          </c:xVal>
          <c:yVal>
            <c:numRef>
              <c:f>'@1MSps numérisation'!$C$3:$C$8</c:f>
              <c:numCache>
                <c:formatCode>General</c:formatCode>
                <c:ptCount val="6"/>
                <c:pt idx="0">
                  <c:v>5400.1318391562299</c:v>
                </c:pt>
                <c:pt idx="1">
                  <c:v>10800.26367831246</c:v>
                </c:pt>
                <c:pt idx="2">
                  <c:v>16200.395517468689</c:v>
                </c:pt>
                <c:pt idx="3">
                  <c:v>21600.52735662492</c:v>
                </c:pt>
                <c:pt idx="4">
                  <c:v>27000.659195781147</c:v>
                </c:pt>
                <c:pt idx="5">
                  <c:v>32768</c:v>
                </c:pt>
              </c:numCache>
            </c:numRef>
          </c:yVal>
          <c:smooth val="1"/>
        </c:ser>
        <c:ser>
          <c:idx val="1"/>
          <c:order val="1"/>
          <c:tx>
            <c:v>mesure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'@1MSps numérisation'!$B$3:$B$8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3.1</c:v>
                </c:pt>
              </c:numCache>
            </c:numRef>
          </c:xVal>
          <c:yVal>
            <c:numRef>
              <c:f>'@1MSps numérisation'!$D$3:$D$8</c:f>
              <c:numCache>
                <c:formatCode>General</c:formatCode>
                <c:ptCount val="6"/>
                <c:pt idx="0">
                  <c:v>5232</c:v>
                </c:pt>
                <c:pt idx="1">
                  <c:v>10344</c:v>
                </c:pt>
                <c:pt idx="2">
                  <c:v>15700</c:v>
                </c:pt>
                <c:pt idx="3">
                  <c:v>21552</c:v>
                </c:pt>
                <c:pt idx="4">
                  <c:v>26752</c:v>
                </c:pt>
                <c:pt idx="5">
                  <c:v>32760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416848"/>
        <c:axId val="260413712"/>
      </c:scatterChart>
      <c:valAx>
        <c:axId val="26041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Tension</a:t>
                </a:r>
                <a:r>
                  <a:rPr lang="fr-FR" baseline="0"/>
                  <a:t> d'entrée (</a:t>
                </a:r>
                <a:r>
                  <a:rPr lang="fr-FR"/>
                  <a:t>Volts)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0413712"/>
        <c:crosses val="autoZero"/>
        <c:crossBetween val="midCat"/>
      </c:valAx>
      <c:valAx>
        <c:axId val="2604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ADU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041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Sortie filtre en fonction de l'entrée du filtre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'@1MSps numérisation'!$D$3:$D$8</c:f>
              <c:numCache>
                <c:formatCode>General</c:formatCode>
                <c:ptCount val="6"/>
                <c:pt idx="0">
                  <c:v>5232</c:v>
                </c:pt>
                <c:pt idx="1">
                  <c:v>10344</c:v>
                </c:pt>
                <c:pt idx="2">
                  <c:v>15700</c:v>
                </c:pt>
                <c:pt idx="3">
                  <c:v>21552</c:v>
                </c:pt>
                <c:pt idx="4">
                  <c:v>26752</c:v>
                </c:pt>
                <c:pt idx="5">
                  <c:v>32760</c:v>
                </c:pt>
              </c:numCache>
            </c:numRef>
          </c:xVal>
          <c:yVal>
            <c:numRef>
              <c:f>'@1MSps numérisation'!$G$3:$G$8</c:f>
              <c:numCache>
                <c:formatCode>General</c:formatCode>
                <c:ptCount val="6"/>
                <c:pt idx="0">
                  <c:v>2654</c:v>
                </c:pt>
                <c:pt idx="1">
                  <c:v>7434</c:v>
                </c:pt>
                <c:pt idx="2">
                  <c:v>12780</c:v>
                </c:pt>
                <c:pt idx="3">
                  <c:v>17600</c:v>
                </c:pt>
                <c:pt idx="4">
                  <c:v>22242</c:v>
                </c:pt>
                <c:pt idx="5">
                  <c:v>28218</c:v>
                </c:pt>
              </c:numCache>
            </c:numRef>
          </c:yVal>
          <c:smooth val="1"/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45918304"/>
        <c:axId val="145921048"/>
      </c:scatterChart>
      <c:valAx>
        <c:axId val="14591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ADU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921048"/>
        <c:crosses val="autoZero"/>
        <c:crossBetween val="midCat"/>
      </c:valAx>
      <c:valAx>
        <c:axId val="14592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ADU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91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209549</xdr:colOff>
      <xdr:row>12</xdr:row>
      <xdr:rowOff>23811</xdr:rowOff>
    </xdr:from>
    <xdr:to>
      <xdr:col>13</xdr:col>
      <xdr:colOff>114299</xdr:colOff>
      <xdr:row>36</xdr:row>
      <xdr:rowOff>161924</xdr:rowOff>
    </xdr:to>
    <xdr:graphicFrame macro="">
      <xdr:nvGraphicFramePr>
        <xdr:cNvPr id="12" name="Graphique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12</xdr:row>
      <xdr:rowOff>38101</xdr:rowOff>
    </xdr:from>
    <xdr:to>
      <xdr:col>4</xdr:col>
      <xdr:colOff>1495424</xdr:colOff>
      <xdr:row>36</xdr:row>
      <xdr:rowOff>104775</xdr:rowOff>
    </xdr:to>
    <xdr:graphicFrame macro="">
      <xdr:nvGraphicFramePr>
        <xdr:cNvPr id="14" name="Graphique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4</xdr:row>
      <xdr:rowOff>0</xdr:rowOff>
    </xdr:from>
    <xdr:to>
      <xdr:col>18</xdr:col>
      <xdr:colOff>19050</xdr:colOff>
      <xdr:row>39</xdr:row>
      <xdr:rowOff>161924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1106261</xdr:colOff>
      <xdr:row>0</xdr:row>
      <xdr:rowOff>141515</xdr:rowOff>
    </xdr:from>
    <xdr:to>
      <xdr:col>11</xdr:col>
      <xdr:colOff>304800</xdr:colOff>
      <xdr:row>25</xdr:row>
      <xdr:rowOff>42183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268941</xdr:colOff>
      <xdr:row>26</xdr:row>
      <xdr:rowOff>168088</xdr:rowOff>
    </xdr:from>
    <xdr:to>
      <xdr:col>10</xdr:col>
      <xdr:colOff>629771</xdr:colOff>
      <xdr:row>66</xdr:row>
      <xdr:rowOff>22412</xdr:rowOff>
    </xdr:to>
    <xdr:graphicFrame macro="">
      <xdr:nvGraphicFramePr>
        <xdr:cNvPr id="10" name="Graphique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948690</xdr:colOff>
      <xdr:row>11</xdr:row>
      <xdr:rowOff>171450</xdr:rowOff>
    </xdr:from>
    <xdr:to>
      <xdr:col>8</xdr:col>
      <xdr:colOff>161925</xdr:colOff>
      <xdr:row>36</xdr:row>
      <xdr:rowOff>133350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942975</xdr:colOff>
      <xdr:row>14</xdr:row>
      <xdr:rowOff>119061</xdr:rowOff>
    </xdr:from>
    <xdr:to>
      <xdr:col>8</xdr:col>
      <xdr:colOff>142875</xdr:colOff>
      <xdr:row>40</xdr:row>
      <xdr:rowOff>85725</xdr:rowOff>
    </xdr:to>
    <xdr:graphicFrame macro="">
      <xdr:nvGraphicFramePr>
        <xdr:cNvPr id="8" name="Graphique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E7" sqref="E7"/>
    </sheetView>
  </sheetViews>
  <sheetFormatPr baseColWidth="10" defaultRowHeight="15" x14ac:dyDescent="0.25"/>
  <cols>
    <col min="1" max="1" width="20.7109375" customWidth="1"/>
    <col min="2" max="2" width="18.7109375" customWidth="1"/>
    <col min="3" max="3" width="41.85546875" customWidth="1"/>
    <col min="4" max="4" width="31.140625" customWidth="1"/>
    <col min="5" max="5" width="32.85546875" customWidth="1"/>
    <col min="6" max="6" width="25.28515625" customWidth="1"/>
  </cols>
  <sheetData>
    <row r="1" spans="1:6" x14ac:dyDescent="0.25">
      <c r="A1" t="s">
        <v>1</v>
      </c>
      <c r="B1" t="s">
        <v>0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>
        <v>0.09</v>
      </c>
      <c r="B2">
        <v>0.5</v>
      </c>
      <c r="C2">
        <f>((B2*2^12)/3.3)*8</f>
        <v>4964.848484848485</v>
      </c>
      <c r="D2">
        <v>5100</v>
      </c>
      <c r="E2">
        <v>2500</v>
      </c>
      <c r="F2">
        <v>80</v>
      </c>
    </row>
    <row r="3" spans="1:6" x14ac:dyDescent="0.25">
      <c r="A3">
        <v>0.25</v>
      </c>
      <c r="B3">
        <v>1</v>
      </c>
      <c r="C3">
        <f t="shared" ref="C3:C7" si="0">((B3*2^12)/3.3)*8</f>
        <v>9929.69696969697</v>
      </c>
      <c r="D3">
        <v>10150</v>
      </c>
      <c r="E3">
        <v>6250</v>
      </c>
      <c r="F3">
        <v>225</v>
      </c>
    </row>
    <row r="4" spans="1:6" x14ac:dyDescent="0.25">
      <c r="A4">
        <v>0.43</v>
      </c>
      <c r="B4">
        <v>1.5</v>
      </c>
      <c r="C4">
        <f t="shared" si="0"/>
        <v>14894.545454545456</v>
      </c>
      <c r="D4">
        <v>15800</v>
      </c>
      <c r="E4">
        <v>12400</v>
      </c>
      <c r="F4">
        <v>388</v>
      </c>
    </row>
    <row r="5" spans="1:6" x14ac:dyDescent="0.25">
      <c r="A5">
        <v>0.59</v>
      </c>
      <c r="B5">
        <v>2</v>
      </c>
      <c r="C5">
        <f t="shared" si="0"/>
        <v>19859.39393939394</v>
      </c>
      <c r="D5">
        <v>20824</v>
      </c>
      <c r="E5">
        <v>17000</v>
      </c>
      <c r="F5">
        <v>533</v>
      </c>
    </row>
    <row r="6" spans="1:6" x14ac:dyDescent="0.25">
      <c r="A6">
        <v>0.76</v>
      </c>
      <c r="B6">
        <v>2.5</v>
      </c>
      <c r="C6">
        <f t="shared" si="0"/>
        <v>24824.242424242424</v>
      </c>
      <c r="D6">
        <v>26100</v>
      </c>
      <c r="E6">
        <v>21900</v>
      </c>
      <c r="F6">
        <v>686</v>
      </c>
    </row>
    <row r="7" spans="1:6" x14ac:dyDescent="0.25">
      <c r="A7">
        <v>0.95</v>
      </c>
      <c r="B7">
        <v>3</v>
      </c>
      <c r="C7">
        <f t="shared" si="0"/>
        <v>29789.090909090912</v>
      </c>
      <c r="D7">
        <v>32000</v>
      </c>
      <c r="E7">
        <v>27200</v>
      </c>
      <c r="F7">
        <v>858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sqref="A1:B21"/>
    </sheetView>
  </sheetViews>
  <sheetFormatPr baseColWidth="10" defaultRowHeight="15" x14ac:dyDescent="0.25"/>
  <cols>
    <col min="1" max="1" width="19.42578125" customWidth="1"/>
    <col min="2" max="2" width="25.85546875" customWidth="1"/>
  </cols>
  <sheetData>
    <row r="1" spans="1:2" x14ac:dyDescent="0.25">
      <c r="A1" t="s">
        <v>1</v>
      </c>
      <c r="B1" t="s">
        <v>2</v>
      </c>
    </row>
    <row r="2" spans="1:2" x14ac:dyDescent="0.25">
      <c r="A2">
        <v>1</v>
      </c>
      <c r="B2">
        <v>902</v>
      </c>
    </row>
    <row r="3" spans="1:2" x14ac:dyDescent="0.25">
      <c r="A3">
        <f>A2-0.05</f>
        <v>0.95</v>
      </c>
      <c r="B3">
        <v>859</v>
      </c>
    </row>
    <row r="4" spans="1:2" x14ac:dyDescent="0.25">
      <c r="A4">
        <f t="shared" ref="A4:A21" si="0">A3-0.05</f>
        <v>0.89999999999999991</v>
      </c>
      <c r="B4">
        <v>813</v>
      </c>
    </row>
    <row r="5" spans="1:2" x14ac:dyDescent="0.25">
      <c r="A5">
        <f t="shared" si="0"/>
        <v>0.84999999999999987</v>
      </c>
      <c r="B5">
        <v>767</v>
      </c>
    </row>
    <row r="6" spans="1:2" x14ac:dyDescent="0.25">
      <c r="A6">
        <f t="shared" si="0"/>
        <v>0.79999999999999982</v>
      </c>
      <c r="B6">
        <v>722</v>
      </c>
    </row>
    <row r="7" spans="1:2" x14ac:dyDescent="0.25">
      <c r="A7">
        <f t="shared" si="0"/>
        <v>0.74999999999999978</v>
      </c>
      <c r="B7">
        <v>677</v>
      </c>
    </row>
    <row r="8" spans="1:2" x14ac:dyDescent="0.25">
      <c r="A8">
        <f t="shared" si="0"/>
        <v>0.69999999999999973</v>
      </c>
      <c r="B8">
        <v>632</v>
      </c>
    </row>
    <row r="9" spans="1:2" x14ac:dyDescent="0.25">
      <c r="A9">
        <f t="shared" si="0"/>
        <v>0.64999999999999969</v>
      </c>
      <c r="B9">
        <v>587</v>
      </c>
    </row>
    <row r="10" spans="1:2" x14ac:dyDescent="0.25">
      <c r="A10">
        <f t="shared" si="0"/>
        <v>0.59999999999999964</v>
      </c>
      <c r="B10">
        <v>542</v>
      </c>
    </row>
    <row r="11" spans="1:2" x14ac:dyDescent="0.25">
      <c r="A11">
        <f t="shared" si="0"/>
        <v>0.5499999999999996</v>
      </c>
      <c r="B11">
        <v>496</v>
      </c>
    </row>
    <row r="12" spans="1:2" x14ac:dyDescent="0.25">
      <c r="A12">
        <f t="shared" si="0"/>
        <v>0.49999999999999961</v>
      </c>
      <c r="B12">
        <v>451</v>
      </c>
    </row>
    <row r="13" spans="1:2" x14ac:dyDescent="0.25">
      <c r="A13">
        <f t="shared" si="0"/>
        <v>0.44999999999999962</v>
      </c>
      <c r="B13">
        <v>406</v>
      </c>
    </row>
    <row r="14" spans="1:2" x14ac:dyDescent="0.25">
      <c r="A14">
        <f t="shared" si="0"/>
        <v>0.39999999999999963</v>
      </c>
      <c r="B14">
        <v>361</v>
      </c>
    </row>
    <row r="15" spans="1:2" x14ac:dyDescent="0.25">
      <c r="A15">
        <f t="shared" si="0"/>
        <v>0.34999999999999964</v>
      </c>
      <c r="B15">
        <v>316</v>
      </c>
    </row>
    <row r="16" spans="1:2" x14ac:dyDescent="0.25">
      <c r="A16">
        <f t="shared" si="0"/>
        <v>0.29999999999999966</v>
      </c>
      <c r="B16">
        <v>270</v>
      </c>
    </row>
    <row r="17" spans="1:2" x14ac:dyDescent="0.25">
      <c r="A17">
        <f t="shared" si="0"/>
        <v>0.24999999999999967</v>
      </c>
      <c r="B17">
        <v>225</v>
      </c>
    </row>
    <row r="18" spans="1:2" x14ac:dyDescent="0.25">
      <c r="A18">
        <f t="shared" si="0"/>
        <v>0.19999999999999968</v>
      </c>
      <c r="B18">
        <v>180</v>
      </c>
    </row>
    <row r="19" spans="1:2" x14ac:dyDescent="0.25">
      <c r="A19">
        <f t="shared" si="0"/>
        <v>0.14999999999999969</v>
      </c>
      <c r="B19">
        <v>134</v>
      </c>
    </row>
    <row r="20" spans="1:2" x14ac:dyDescent="0.25">
      <c r="A20">
        <f t="shared" si="0"/>
        <v>9.9999999999999686E-2</v>
      </c>
      <c r="B20">
        <v>89</v>
      </c>
    </row>
    <row r="21" spans="1:2" x14ac:dyDescent="0.25">
      <c r="A21">
        <f t="shared" si="0"/>
        <v>4.9999999999999684E-2</v>
      </c>
      <c r="B21">
        <v>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topLeftCell="A16" zoomScale="85" zoomScaleNormal="85" workbookViewId="0">
      <selection activeCell="E23" sqref="E23"/>
    </sheetView>
  </sheetViews>
  <sheetFormatPr baseColWidth="10" defaultRowHeight="15" x14ac:dyDescent="0.25"/>
  <cols>
    <col min="1" max="1" width="29.85546875" customWidth="1"/>
    <col min="2" max="2" width="33.28515625" customWidth="1"/>
    <col min="4" max="4" width="33.85546875" customWidth="1"/>
    <col min="5" max="5" width="38.140625" customWidth="1"/>
  </cols>
  <sheetData>
    <row r="1" spans="1:2" x14ac:dyDescent="0.25">
      <c r="A1" t="s">
        <v>1</v>
      </c>
      <c r="B1" t="s">
        <v>2</v>
      </c>
    </row>
    <row r="2" spans="1:2" x14ac:dyDescent="0.25">
      <c r="A2">
        <v>1</v>
      </c>
      <c r="B2">
        <v>926</v>
      </c>
    </row>
    <row r="3" spans="1:2" x14ac:dyDescent="0.25">
      <c r="A3">
        <f>A2-0.05</f>
        <v>0.95</v>
      </c>
      <c r="B3">
        <v>882</v>
      </c>
    </row>
    <row r="4" spans="1:2" x14ac:dyDescent="0.25">
      <c r="A4">
        <f t="shared" ref="A4:A21" si="0">A3-0.05</f>
        <v>0.89999999999999991</v>
      </c>
      <c r="B4">
        <v>835</v>
      </c>
    </row>
    <row r="5" spans="1:2" x14ac:dyDescent="0.25">
      <c r="A5">
        <f t="shared" si="0"/>
        <v>0.84999999999999987</v>
      </c>
      <c r="B5">
        <v>789</v>
      </c>
    </row>
    <row r="6" spans="1:2" x14ac:dyDescent="0.25">
      <c r="A6">
        <f t="shared" si="0"/>
        <v>0.79999999999999982</v>
      </c>
      <c r="B6">
        <v>742</v>
      </c>
    </row>
    <row r="7" spans="1:2" x14ac:dyDescent="0.25">
      <c r="A7">
        <f t="shared" si="0"/>
        <v>0.74999999999999978</v>
      </c>
      <c r="B7">
        <v>696</v>
      </c>
    </row>
    <row r="8" spans="1:2" x14ac:dyDescent="0.25">
      <c r="A8">
        <f t="shared" si="0"/>
        <v>0.69999999999999973</v>
      </c>
      <c r="B8">
        <v>650</v>
      </c>
    </row>
    <row r="9" spans="1:2" x14ac:dyDescent="0.25">
      <c r="A9">
        <f>A8-0.05</f>
        <v>0.64999999999999969</v>
      </c>
      <c r="B9">
        <v>603</v>
      </c>
    </row>
    <row r="10" spans="1:2" x14ac:dyDescent="0.25">
      <c r="A10">
        <f t="shared" si="0"/>
        <v>0.59999999999999964</v>
      </c>
      <c r="B10">
        <v>557</v>
      </c>
    </row>
    <row r="11" spans="1:2" x14ac:dyDescent="0.25">
      <c r="A11">
        <f t="shared" si="0"/>
        <v>0.5499999999999996</v>
      </c>
      <c r="B11">
        <v>510</v>
      </c>
    </row>
    <row r="12" spans="1:2" x14ac:dyDescent="0.25">
      <c r="A12">
        <f>A11-0.05</f>
        <v>0.49999999999999961</v>
      </c>
      <c r="B12">
        <v>464</v>
      </c>
    </row>
    <row r="13" spans="1:2" x14ac:dyDescent="0.25">
      <c r="A13">
        <f t="shared" si="0"/>
        <v>0.44999999999999962</v>
      </c>
      <c r="B13">
        <v>417</v>
      </c>
    </row>
    <row r="14" spans="1:2" x14ac:dyDescent="0.25">
      <c r="A14">
        <f t="shared" si="0"/>
        <v>0.39999999999999963</v>
      </c>
      <c r="B14">
        <v>371</v>
      </c>
    </row>
    <row r="15" spans="1:2" x14ac:dyDescent="0.25">
      <c r="A15">
        <f>A14-0.05</f>
        <v>0.34999999999999964</v>
      </c>
      <c r="B15">
        <v>324</v>
      </c>
    </row>
    <row r="16" spans="1:2" x14ac:dyDescent="0.25">
      <c r="A16">
        <f t="shared" si="0"/>
        <v>0.29999999999999966</v>
      </c>
      <c r="B16">
        <v>278</v>
      </c>
    </row>
    <row r="17" spans="1:2" x14ac:dyDescent="0.25">
      <c r="A17">
        <f>A16-0.05</f>
        <v>0.24999999999999967</v>
      </c>
      <c r="B17">
        <v>231</v>
      </c>
    </row>
    <row r="18" spans="1:2" x14ac:dyDescent="0.25">
      <c r="A18">
        <f t="shared" si="0"/>
        <v>0.19999999999999968</v>
      </c>
      <c r="B18">
        <v>185</v>
      </c>
    </row>
    <row r="19" spans="1:2" x14ac:dyDescent="0.25">
      <c r="A19">
        <f>A18-0.05</f>
        <v>0.14999999999999969</v>
      </c>
      <c r="B19">
        <v>138</v>
      </c>
    </row>
    <row r="20" spans="1:2" x14ac:dyDescent="0.25">
      <c r="A20">
        <f t="shared" si="0"/>
        <v>9.9999999999999686E-2</v>
      </c>
      <c r="B20">
        <v>92</v>
      </c>
    </row>
    <row r="21" spans="1:2" x14ac:dyDescent="0.25">
      <c r="A21">
        <f t="shared" si="0"/>
        <v>4.9999999999999684E-2</v>
      </c>
    </row>
    <row r="41" spans="1:2" x14ac:dyDescent="0.25">
      <c r="A41" t="s">
        <v>1</v>
      </c>
      <c r="B41" t="s">
        <v>2</v>
      </c>
    </row>
    <row r="42" spans="1:2" x14ac:dyDescent="0.25">
      <c r="A42">
        <v>1</v>
      </c>
      <c r="B42">
        <v>926</v>
      </c>
    </row>
    <row r="43" spans="1:2" x14ac:dyDescent="0.25">
      <c r="A43">
        <v>0.95</v>
      </c>
      <c r="B43">
        <v>882</v>
      </c>
    </row>
    <row r="44" spans="1:2" x14ac:dyDescent="0.25">
      <c r="A44">
        <v>0.9</v>
      </c>
      <c r="B44">
        <v>835</v>
      </c>
    </row>
    <row r="45" spans="1:2" x14ac:dyDescent="0.25">
      <c r="A45">
        <v>0.85</v>
      </c>
      <c r="B45">
        <v>789</v>
      </c>
    </row>
    <row r="46" spans="1:2" x14ac:dyDescent="0.25">
      <c r="A46">
        <v>0.8</v>
      </c>
      <c r="B46">
        <v>742</v>
      </c>
    </row>
    <row r="47" spans="1:2" x14ac:dyDescent="0.25">
      <c r="A47">
        <v>0.76</v>
      </c>
      <c r="B47">
        <v>706</v>
      </c>
    </row>
    <row r="48" spans="1:2" x14ac:dyDescent="0.25">
      <c r="A48">
        <v>0.65</v>
      </c>
      <c r="B48">
        <v>603</v>
      </c>
    </row>
    <row r="49" spans="1:2" x14ac:dyDescent="0.25">
      <c r="A49">
        <v>0.59</v>
      </c>
      <c r="B49">
        <v>547</v>
      </c>
    </row>
    <row r="50" spans="1:2" x14ac:dyDescent="0.25">
      <c r="A50">
        <v>0.5</v>
      </c>
      <c r="B50">
        <v>464</v>
      </c>
    </row>
    <row r="51" spans="1:2" x14ac:dyDescent="0.25">
      <c r="A51">
        <v>0.43</v>
      </c>
      <c r="B51">
        <v>399</v>
      </c>
    </row>
    <row r="52" spans="1:2" x14ac:dyDescent="0.25">
      <c r="A52">
        <v>0.35</v>
      </c>
      <c r="B52">
        <v>324</v>
      </c>
    </row>
    <row r="53" spans="1:2" x14ac:dyDescent="0.25">
      <c r="A53">
        <v>0.25</v>
      </c>
      <c r="B53">
        <v>231</v>
      </c>
    </row>
    <row r="54" spans="1:2" x14ac:dyDescent="0.25">
      <c r="A54">
        <v>0.15</v>
      </c>
      <c r="B54">
        <v>138</v>
      </c>
    </row>
    <row r="55" spans="1:2" x14ac:dyDescent="0.25">
      <c r="A55">
        <v>0.09</v>
      </c>
      <c r="B55">
        <v>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J4" sqref="J4"/>
    </sheetView>
  </sheetViews>
  <sheetFormatPr baseColWidth="10" defaultRowHeight="15" x14ac:dyDescent="0.25"/>
  <cols>
    <col min="1" max="1" width="21.28515625" customWidth="1"/>
    <col min="2" max="2" width="17.28515625" customWidth="1"/>
    <col min="3" max="3" width="38" customWidth="1"/>
    <col min="4" max="4" width="29.28515625" customWidth="1"/>
    <col min="5" max="5" width="23.85546875" customWidth="1"/>
    <col min="6" max="6" width="24.5703125" customWidth="1"/>
    <col min="7" max="7" width="31.140625" customWidth="1"/>
  </cols>
  <sheetData>
    <row r="1" spans="1:7" x14ac:dyDescent="0.25">
      <c r="A1" t="s">
        <v>1</v>
      </c>
      <c r="B1" t="s">
        <v>0</v>
      </c>
      <c r="C1" t="s">
        <v>3</v>
      </c>
      <c r="D1" t="s">
        <v>4</v>
      </c>
      <c r="E1" t="s">
        <v>8</v>
      </c>
      <c r="F1" t="s">
        <v>7</v>
      </c>
      <c r="G1" t="s">
        <v>5</v>
      </c>
    </row>
    <row r="2" spans="1:7" x14ac:dyDescent="0.25">
      <c r="A2" s="1" t="s">
        <v>9</v>
      </c>
      <c r="B2">
        <v>0.3</v>
      </c>
      <c r="C2">
        <f>((B2*2^12)/3.034)*8</f>
        <v>3240.0791034937379</v>
      </c>
      <c r="D2">
        <v>2952</v>
      </c>
      <c r="E2">
        <f>C2-D2</f>
        <v>288.07910349373788</v>
      </c>
      <c r="F2">
        <f>E2/8</f>
        <v>36.009887936717234</v>
      </c>
    </row>
    <row r="3" spans="1:7" x14ac:dyDescent="0.25">
      <c r="A3">
        <v>0.09</v>
      </c>
      <c r="B3">
        <v>0.5</v>
      </c>
      <c r="C3">
        <f t="shared" ref="C3:C10" si="0">((B3*2^12)/3.034)*8</f>
        <v>5400.1318391562299</v>
      </c>
      <c r="D3">
        <v>5232</v>
      </c>
      <c r="E3">
        <f>C3-D3</f>
        <v>168.13183915622994</v>
      </c>
      <c r="F3">
        <f>E3/8</f>
        <v>21.016479894528743</v>
      </c>
      <c r="G3">
        <v>2654</v>
      </c>
    </row>
    <row r="4" spans="1:7" x14ac:dyDescent="0.25">
      <c r="A4">
        <v>0.255</v>
      </c>
      <c r="B4">
        <v>1</v>
      </c>
      <c r="C4">
        <f t="shared" si="0"/>
        <v>10800.26367831246</v>
      </c>
      <c r="D4">
        <v>10344</v>
      </c>
      <c r="E4">
        <f t="shared" ref="E4:E10" si="1">C4-D4</f>
        <v>456.26367831245989</v>
      </c>
      <c r="F4">
        <f t="shared" ref="F4:F10" si="2">E4/8</f>
        <v>57.032959789057486</v>
      </c>
      <c r="G4">
        <v>7434</v>
      </c>
    </row>
    <row r="5" spans="1:7" x14ac:dyDescent="0.25">
      <c r="A5">
        <v>0.43</v>
      </c>
      <c r="B5">
        <v>1.5</v>
      </c>
      <c r="C5">
        <f t="shared" si="0"/>
        <v>16200.395517468689</v>
      </c>
      <c r="D5">
        <v>15700</v>
      </c>
      <c r="E5">
        <f t="shared" si="1"/>
        <v>500.39551746868892</v>
      </c>
      <c r="F5">
        <f t="shared" si="2"/>
        <v>62.549439683586115</v>
      </c>
      <c r="G5">
        <v>12780</v>
      </c>
    </row>
    <row r="6" spans="1:7" x14ac:dyDescent="0.25">
      <c r="A6">
        <v>0.59</v>
      </c>
      <c r="B6">
        <v>2</v>
      </c>
      <c r="C6">
        <f t="shared" si="0"/>
        <v>21600.52735662492</v>
      </c>
      <c r="D6">
        <v>21552</v>
      </c>
      <c r="E6">
        <f t="shared" si="1"/>
        <v>48.527356624919776</v>
      </c>
      <c r="F6">
        <f t="shared" si="2"/>
        <v>6.065919578114972</v>
      </c>
      <c r="G6">
        <v>17600</v>
      </c>
    </row>
    <row r="7" spans="1:7" x14ac:dyDescent="0.25">
      <c r="A7">
        <v>0.76</v>
      </c>
      <c r="B7">
        <v>2.5</v>
      </c>
      <c r="C7">
        <f t="shared" si="0"/>
        <v>27000.659195781147</v>
      </c>
      <c r="D7">
        <v>26752</v>
      </c>
      <c r="E7">
        <f t="shared" si="1"/>
        <v>248.65919578114699</v>
      </c>
      <c r="F7">
        <f t="shared" si="2"/>
        <v>31.082399472643374</v>
      </c>
      <c r="G7">
        <v>22242</v>
      </c>
    </row>
    <row r="8" spans="1:7" x14ac:dyDescent="0.25">
      <c r="A8">
        <v>0.95</v>
      </c>
      <c r="B8">
        <v>3.1</v>
      </c>
      <c r="C8">
        <f>32768</f>
        <v>32768</v>
      </c>
      <c r="D8">
        <v>32760</v>
      </c>
      <c r="E8">
        <f t="shared" si="1"/>
        <v>8</v>
      </c>
      <c r="F8">
        <f t="shared" si="2"/>
        <v>1</v>
      </c>
      <c r="G8">
        <v>28218</v>
      </c>
    </row>
    <row r="9" spans="1:7" x14ac:dyDescent="0.25">
      <c r="C9">
        <f t="shared" si="0"/>
        <v>0</v>
      </c>
    </row>
    <row r="10" spans="1:7" x14ac:dyDescent="0.25">
      <c r="A10">
        <v>0</v>
      </c>
      <c r="B10">
        <v>0.2</v>
      </c>
      <c r="C10">
        <f t="shared" si="0"/>
        <v>2160.0527356624921</v>
      </c>
      <c r="D10">
        <v>2304</v>
      </c>
      <c r="E10">
        <f t="shared" si="1"/>
        <v>-143.94726433750793</v>
      </c>
      <c r="F10">
        <f t="shared" si="2"/>
        <v>-17.993408042188491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@1,1MSps</vt:lpstr>
      <vt:lpstr>@1,1MSps_spectre</vt:lpstr>
      <vt:lpstr>@1MSps</vt:lpstr>
      <vt:lpstr>@1MSps numérisation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BERTRAND</dc:creator>
  <cp:lastModifiedBy>Bernard BERTRAND</cp:lastModifiedBy>
  <dcterms:created xsi:type="dcterms:W3CDTF">2024-08-05T11:52:21Z</dcterms:created>
  <dcterms:modified xsi:type="dcterms:W3CDTF">2024-08-14T07:39:30Z</dcterms:modified>
</cp:coreProperties>
</file>